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tas\Desktop\大学物理实验数据处理\太阳能电池实验\"/>
    </mc:Choice>
  </mc:AlternateContent>
  <xr:revisionPtr revIDLastSave="0" documentId="13_ncr:1_{4F894E7D-4B56-4B45-8E31-711BAF84858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表格1" sheetId="1" r:id="rId1"/>
    <sheet name="表格2" sheetId="2" r:id="rId2"/>
    <sheet name="表格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A3" i="1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A4" i="2"/>
  <c r="L4" i="3"/>
  <c r="M4" i="3"/>
  <c r="N4" i="3"/>
  <c r="O4" i="3"/>
  <c r="P4" i="3"/>
  <c r="Q4" i="3"/>
  <c r="R4" i="3"/>
  <c r="S4" i="3"/>
  <c r="B4" i="3"/>
  <c r="C4" i="3"/>
  <c r="D4" i="3"/>
  <c r="E4" i="3"/>
  <c r="F4" i="3"/>
  <c r="G4" i="3"/>
  <c r="H4" i="3"/>
  <c r="I4" i="3"/>
  <c r="J4" i="3"/>
  <c r="K4" i="3"/>
  <c r="A4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L10" sqref="L10"/>
    </sheetView>
  </sheetViews>
  <sheetFormatPr defaultRowHeight="13.8" x14ac:dyDescent="0.25"/>
  <sheetData>
    <row r="1" spans="1:10" x14ac:dyDescent="0.25">
      <c r="A1">
        <v>0.5</v>
      </c>
      <c r="B1">
        <v>1</v>
      </c>
      <c r="C1">
        <v>1.5</v>
      </c>
      <c r="D1">
        <v>2</v>
      </c>
      <c r="E1">
        <v>2.5</v>
      </c>
      <c r="F1">
        <v>3</v>
      </c>
      <c r="G1">
        <v>3.5</v>
      </c>
      <c r="H1">
        <v>4</v>
      </c>
      <c r="I1">
        <v>4.5</v>
      </c>
      <c r="J1">
        <v>5</v>
      </c>
    </row>
    <row r="2" spans="1:10" x14ac:dyDescent="0.25">
      <c r="A2">
        <v>5.0000000000000001E-3</v>
      </c>
      <c r="B2">
        <v>1.2E-2</v>
      </c>
      <c r="C2">
        <v>2.5000000000000001E-2</v>
      </c>
      <c r="D2">
        <v>4.5999999999999999E-2</v>
      </c>
      <c r="E2">
        <v>0.08</v>
      </c>
      <c r="F2">
        <v>0.13300000000000001</v>
      </c>
      <c r="G2">
        <v>0.22700000000000001</v>
      </c>
      <c r="H2">
        <v>0.39600000000000002</v>
      </c>
      <c r="I2">
        <v>0.69499999999999995</v>
      </c>
      <c r="J2">
        <v>1.3120000000000001</v>
      </c>
    </row>
    <row r="3" spans="1:10" x14ac:dyDescent="0.25">
      <c r="A3">
        <f>LN(A2)</f>
        <v>-5.2983173665480363</v>
      </c>
      <c r="B3">
        <f t="shared" ref="B3:J3" si="0">LN(B2)</f>
        <v>-4.4228486291941369</v>
      </c>
      <c r="C3">
        <f t="shared" si="0"/>
        <v>-3.6888794541139363</v>
      </c>
      <c r="D3">
        <f t="shared" si="0"/>
        <v>-3.0791138824930422</v>
      </c>
      <c r="E3">
        <f t="shared" si="0"/>
        <v>-2.5257286443082556</v>
      </c>
      <c r="F3">
        <f t="shared" si="0"/>
        <v>-2.0174061507603831</v>
      </c>
      <c r="G3">
        <f t="shared" si="0"/>
        <v>-1.4828052615007343</v>
      </c>
      <c r="H3">
        <f t="shared" si="0"/>
        <v>-0.92634106772765645</v>
      </c>
      <c r="I3">
        <f t="shared" si="0"/>
        <v>-0.36384343341734499</v>
      </c>
      <c r="J3">
        <f t="shared" si="0"/>
        <v>0.27155269052189734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3680-8181-48CC-9D92-A3FF6FF86970}">
  <dimension ref="A1:S4"/>
  <sheetViews>
    <sheetView workbookViewId="0">
      <selection activeCell="F7" sqref="F7"/>
    </sheetView>
  </sheetViews>
  <sheetFormatPr defaultRowHeight="13.8" x14ac:dyDescent="0.25"/>
  <sheetData>
    <row r="1" spans="1:19" x14ac:dyDescent="0.25">
      <c r="A1">
        <v>0</v>
      </c>
      <c r="B1">
        <v>100</v>
      </c>
      <c r="C1">
        <v>200</v>
      </c>
      <c r="D1">
        <v>300</v>
      </c>
      <c r="E1">
        <v>400</v>
      </c>
      <c r="F1">
        <v>500</v>
      </c>
      <c r="G1">
        <v>600</v>
      </c>
      <c r="H1">
        <v>700</v>
      </c>
      <c r="I1">
        <v>800</v>
      </c>
      <c r="J1">
        <v>900</v>
      </c>
      <c r="K1">
        <v>1000</v>
      </c>
      <c r="L1">
        <v>1100</v>
      </c>
      <c r="M1">
        <v>1200</v>
      </c>
      <c r="N1">
        <v>1300</v>
      </c>
      <c r="O1">
        <v>1400</v>
      </c>
      <c r="P1">
        <v>1500</v>
      </c>
      <c r="Q1">
        <v>2000</v>
      </c>
      <c r="R1">
        <v>4000</v>
      </c>
      <c r="S1">
        <v>99999</v>
      </c>
    </row>
    <row r="2" spans="1:19" x14ac:dyDescent="0.25">
      <c r="A2">
        <v>0.7</v>
      </c>
      <c r="B2">
        <v>1</v>
      </c>
      <c r="C2">
        <v>2.16</v>
      </c>
      <c r="D2">
        <v>3.08</v>
      </c>
      <c r="E2">
        <v>4.01</v>
      </c>
      <c r="F2">
        <v>4.8</v>
      </c>
      <c r="G2">
        <v>5.4</v>
      </c>
      <c r="H2">
        <v>5.42</v>
      </c>
      <c r="I2">
        <v>5.66</v>
      </c>
      <c r="J2">
        <v>5.73</v>
      </c>
      <c r="K2">
        <v>5.77</v>
      </c>
      <c r="L2">
        <v>5.82</v>
      </c>
      <c r="M2">
        <v>5.86</v>
      </c>
      <c r="N2">
        <v>5.89</v>
      </c>
      <c r="O2">
        <v>5.91</v>
      </c>
      <c r="P2">
        <v>5.95</v>
      </c>
      <c r="Q2">
        <v>6.1</v>
      </c>
      <c r="R2">
        <v>6.12</v>
      </c>
      <c r="S2">
        <v>6.2</v>
      </c>
    </row>
    <row r="3" spans="1:19" x14ac:dyDescent="0.25">
      <c r="A3">
        <v>9.9</v>
      </c>
      <c r="B3">
        <v>9.8000000000000007</v>
      </c>
      <c r="C3">
        <v>9.6</v>
      </c>
      <c r="D3">
        <v>9.3000000000000007</v>
      </c>
      <c r="E3">
        <v>9.1</v>
      </c>
      <c r="F3">
        <v>8.6</v>
      </c>
      <c r="G3">
        <v>7.6</v>
      </c>
      <c r="H3">
        <v>6.8</v>
      </c>
      <c r="I3">
        <v>6</v>
      </c>
      <c r="J3">
        <v>5.4</v>
      </c>
      <c r="K3">
        <v>5</v>
      </c>
      <c r="L3">
        <v>4.5999999999999996</v>
      </c>
      <c r="M3">
        <v>4.2</v>
      </c>
      <c r="N3">
        <v>3.9</v>
      </c>
      <c r="O3">
        <v>3.6</v>
      </c>
      <c r="P3">
        <v>3.4</v>
      </c>
      <c r="Q3">
        <v>2.6</v>
      </c>
      <c r="R3">
        <v>1.3</v>
      </c>
      <c r="S3">
        <v>0</v>
      </c>
    </row>
    <row r="4" spans="1:19" x14ac:dyDescent="0.25">
      <c r="A4">
        <f>PRODUCT(A2:A3)</f>
        <v>6.93</v>
      </c>
      <c r="B4">
        <f t="shared" ref="B4:S4" si="0">PRODUCT(B2:B3)</f>
        <v>9.8000000000000007</v>
      </c>
      <c r="C4">
        <f t="shared" si="0"/>
        <v>20.736000000000001</v>
      </c>
      <c r="D4">
        <f t="shared" si="0"/>
        <v>28.644000000000002</v>
      </c>
      <c r="E4">
        <f t="shared" si="0"/>
        <v>36.491</v>
      </c>
      <c r="F4">
        <f t="shared" si="0"/>
        <v>41.279999999999994</v>
      </c>
      <c r="G4">
        <f t="shared" si="0"/>
        <v>41.04</v>
      </c>
      <c r="H4">
        <f t="shared" si="0"/>
        <v>36.856000000000002</v>
      </c>
      <c r="I4">
        <f t="shared" si="0"/>
        <v>33.96</v>
      </c>
      <c r="J4">
        <f t="shared" si="0"/>
        <v>30.942000000000004</v>
      </c>
      <c r="K4">
        <f t="shared" si="0"/>
        <v>28.849999999999998</v>
      </c>
      <c r="L4">
        <f t="shared" si="0"/>
        <v>26.771999999999998</v>
      </c>
      <c r="M4">
        <f t="shared" si="0"/>
        <v>24.612000000000002</v>
      </c>
      <c r="N4">
        <f t="shared" si="0"/>
        <v>22.970999999999997</v>
      </c>
      <c r="O4">
        <f t="shared" si="0"/>
        <v>21.276</v>
      </c>
      <c r="P4">
        <f t="shared" si="0"/>
        <v>20.23</v>
      </c>
      <c r="Q4">
        <f t="shared" si="0"/>
        <v>15.86</v>
      </c>
      <c r="R4">
        <f t="shared" si="0"/>
        <v>7.9560000000000004</v>
      </c>
      <c r="S4">
        <f t="shared" si="0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5A12-1C7F-4A48-A698-9754C05BC201}">
  <dimension ref="A1:S4"/>
  <sheetViews>
    <sheetView workbookViewId="0">
      <selection activeCell="F6" sqref="F6"/>
    </sheetView>
  </sheetViews>
  <sheetFormatPr defaultRowHeight="13.8" x14ac:dyDescent="0.25"/>
  <sheetData>
    <row r="1" spans="1:19" x14ac:dyDescent="0.25">
      <c r="A1">
        <v>410</v>
      </c>
      <c r="B1">
        <v>420</v>
      </c>
      <c r="C1">
        <v>430</v>
      </c>
      <c r="D1">
        <v>440</v>
      </c>
      <c r="E1">
        <v>450</v>
      </c>
      <c r="F1">
        <v>460</v>
      </c>
      <c r="G1">
        <v>470</v>
      </c>
      <c r="H1">
        <v>480</v>
      </c>
      <c r="I1">
        <v>490</v>
      </c>
      <c r="J1">
        <v>500</v>
      </c>
      <c r="K1">
        <v>510</v>
      </c>
      <c r="L1">
        <v>520</v>
      </c>
      <c r="M1">
        <v>530</v>
      </c>
      <c r="N1">
        <v>540</v>
      </c>
      <c r="O1">
        <v>550</v>
      </c>
      <c r="P1">
        <v>560</v>
      </c>
      <c r="Q1">
        <v>570</v>
      </c>
      <c r="R1">
        <v>580</v>
      </c>
      <c r="S1">
        <v>590</v>
      </c>
    </row>
    <row r="2" spans="1:19" x14ac:dyDescent="0.25">
      <c r="A2">
        <v>4.3600000000000003</v>
      </c>
      <c r="B2">
        <v>4.45</v>
      </c>
      <c r="C2">
        <v>4.5599999999999996</v>
      </c>
      <c r="D2">
        <v>4.62</v>
      </c>
      <c r="E2">
        <v>4.6900000000000004</v>
      </c>
      <c r="F2">
        <v>4.78</v>
      </c>
      <c r="G2">
        <v>4.5</v>
      </c>
      <c r="H2">
        <v>4.3899999999999997</v>
      </c>
      <c r="I2">
        <v>4.42</v>
      </c>
      <c r="J2">
        <v>4.8899999999999997</v>
      </c>
      <c r="K2">
        <v>5</v>
      </c>
      <c r="L2">
        <v>5.07</v>
      </c>
      <c r="M2">
        <v>5.1100000000000003</v>
      </c>
      <c r="N2">
        <v>5.15</v>
      </c>
      <c r="O2">
        <v>5.17</v>
      </c>
      <c r="P2">
        <v>5.19</v>
      </c>
      <c r="Q2">
        <v>5.26</v>
      </c>
      <c r="R2">
        <v>5.36</v>
      </c>
      <c r="S2">
        <v>5.39</v>
      </c>
    </row>
    <row r="3" spans="1:19" x14ac:dyDescent="0.25">
      <c r="A3">
        <v>9.1</v>
      </c>
      <c r="B3">
        <v>9.1</v>
      </c>
      <c r="C3">
        <v>9</v>
      </c>
      <c r="D3">
        <v>9</v>
      </c>
      <c r="E3">
        <v>8.9</v>
      </c>
      <c r="F3">
        <v>8.9</v>
      </c>
      <c r="G3">
        <v>8.8000000000000007</v>
      </c>
      <c r="H3">
        <v>8.8000000000000007</v>
      </c>
      <c r="I3">
        <v>8.6999999999999993</v>
      </c>
      <c r="J3">
        <v>8.3000000000000007</v>
      </c>
      <c r="K3">
        <v>8.1999999999999993</v>
      </c>
      <c r="L3">
        <v>8.1</v>
      </c>
      <c r="M3">
        <v>8</v>
      </c>
      <c r="N3">
        <v>7.9</v>
      </c>
      <c r="O3">
        <v>7.8</v>
      </c>
      <c r="P3">
        <v>7.7</v>
      </c>
      <c r="Q3">
        <v>7.6</v>
      </c>
      <c r="R3">
        <v>7.5</v>
      </c>
      <c r="S3">
        <v>7.4</v>
      </c>
    </row>
    <row r="4" spans="1:19" x14ac:dyDescent="0.25">
      <c r="A4">
        <f>PRODUCT(A2:A3)</f>
        <v>39.676000000000002</v>
      </c>
      <c r="B4">
        <f t="shared" ref="B4:K4" si="0">PRODUCT(B2:B3)</f>
        <v>40.494999999999997</v>
      </c>
      <c r="C4">
        <f t="shared" si="0"/>
        <v>41.04</v>
      </c>
      <c r="D4">
        <f t="shared" si="0"/>
        <v>41.58</v>
      </c>
      <c r="E4">
        <f t="shared" si="0"/>
        <v>41.741000000000007</v>
      </c>
      <c r="F4">
        <f t="shared" si="0"/>
        <v>42.542000000000002</v>
      </c>
      <c r="G4">
        <f t="shared" si="0"/>
        <v>39.6</v>
      </c>
      <c r="H4">
        <f t="shared" si="0"/>
        <v>38.631999999999998</v>
      </c>
      <c r="I4">
        <f t="shared" si="0"/>
        <v>38.453999999999994</v>
      </c>
      <c r="J4">
        <f t="shared" si="0"/>
        <v>40.587000000000003</v>
      </c>
      <c r="K4">
        <f t="shared" si="0"/>
        <v>41</v>
      </c>
      <c r="L4">
        <f>PRODUCT(L2:L3)</f>
        <v>41.067</v>
      </c>
      <c r="M4">
        <f t="shared" ref="M4" si="1">PRODUCT(M2:M3)</f>
        <v>40.880000000000003</v>
      </c>
      <c r="N4">
        <f t="shared" ref="N4" si="2">PRODUCT(N2:N3)</f>
        <v>40.685000000000002</v>
      </c>
      <c r="O4">
        <f t="shared" ref="O4" si="3">PRODUCT(O2:O3)</f>
        <v>40.326000000000001</v>
      </c>
      <c r="P4">
        <f t="shared" ref="P4" si="4">PRODUCT(P2:P3)</f>
        <v>39.963000000000001</v>
      </c>
      <c r="Q4">
        <f t="shared" ref="Q4" si="5">PRODUCT(Q2:Q3)</f>
        <v>39.975999999999999</v>
      </c>
      <c r="R4">
        <f t="shared" ref="R4" si="6">PRODUCT(R2:R3)</f>
        <v>40.200000000000003</v>
      </c>
      <c r="S4">
        <f t="shared" ref="S4" si="7">PRODUCT(S2:S3)</f>
        <v>39.886000000000003</v>
      </c>
    </row>
  </sheetData>
  <phoneticPr fontId="1" type="noConversion"/>
  <pageMargins left="0.7" right="0.7" top="0.75" bottom="0.75" header="0.3" footer="0.3"/>
  <ignoredErrors>
    <ignoredError sqref="A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表格1</vt:lpstr>
      <vt:lpstr>表格2</vt:lpstr>
      <vt:lpstr>表格3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ALandm1ne</dc:creator>
  <cp:lastModifiedBy>Landm1ne A</cp:lastModifiedBy>
  <dcterms:created xsi:type="dcterms:W3CDTF">2015-06-05T18:17:20Z</dcterms:created>
  <dcterms:modified xsi:type="dcterms:W3CDTF">2026-03-25T04:21:28Z</dcterms:modified>
</cp:coreProperties>
</file>